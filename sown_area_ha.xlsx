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asilii/Desktop/ФГГТ /Питонство/Проект/"/>
    </mc:Choice>
  </mc:AlternateContent>
  <xr:revisionPtr revIDLastSave="0" documentId="8_{A4280BD1-5935-7B4C-BFE6-710D3328044D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Площади 2016, га" sheetId="1" r:id="rId1"/>
    <sheet name="Округа как в PDF" sheetId="2" r:id="rId2"/>
    <sheet name="Источник PDF" sheetId="3" r:id="rId3"/>
    <sheet name="Методика" sheetId="4" r:id="rId4"/>
  </sheets>
  <definedNames>
    <definedName name="_xlnm.Print_Area" localSheetId="1">'Округа как в PDF'!$A$1:$F$9</definedName>
    <definedName name="_xlnm.Print_Area" localSheetId="0">'Площади 2016, га'!$A$1:$E$9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2" l="1"/>
  <c r="E9" i="2"/>
  <c r="D9" i="2"/>
  <c r="C9" i="2"/>
  <c r="B9" i="2"/>
  <c r="F8" i="2"/>
  <c r="E8" i="2"/>
  <c r="D8" i="2"/>
  <c r="C8" i="2"/>
  <c r="B8" i="2"/>
  <c r="F7" i="2"/>
  <c r="E7" i="2"/>
  <c r="D7" i="2"/>
  <c r="C7" i="2"/>
  <c r="B7" i="2"/>
  <c r="F6" i="2"/>
  <c r="E6" i="2"/>
  <c r="D6" i="2"/>
  <c r="C6" i="2"/>
  <c r="B6" i="2"/>
  <c r="F5" i="2"/>
  <c r="E5" i="2"/>
  <c r="D5" i="2"/>
  <c r="C5" i="2"/>
  <c r="B5" i="2"/>
  <c r="F4" i="2"/>
  <c r="E4" i="2"/>
  <c r="D4" i="2"/>
  <c r="C4" i="2"/>
  <c r="B4" i="2"/>
  <c r="F3" i="2"/>
  <c r="E3" i="2"/>
  <c r="D3" i="2"/>
  <c r="C3" i="2"/>
  <c r="B3" i="2"/>
  <c r="F2" i="2"/>
  <c r="E2" i="2"/>
  <c r="D2" i="2"/>
  <c r="C2" i="2"/>
  <c r="B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100-000001000000}">
      <text>
        <r>
          <rPr>
            <sz val="8"/>
            <color indexed="81"/>
            <rFont val="Tahoma"/>
            <family val="2"/>
          </rPr>
          <t>2016, хозяйства всех категорий. Источник: DatasetSelkhoz.pdf, таблица 3, страницы 22, 24. Единицы результата: гектары. Взята общая площадь культуры, её подвиды повторно не добавляются.</t>
        </r>
      </text>
    </comment>
    <comment ref="C1" authorId="0" shapeId="0" xr:uid="{00000000-0006-0000-0100-000002000000}">
      <text>
        <r>
          <rPr>
            <sz val="8"/>
            <color indexed="81"/>
            <rFont val="Tahoma"/>
            <family val="2"/>
          </rPr>
          <t>2016, хозяйства всех категорий. Источник: DatasetSelkhoz.pdf, таблица 5, страницы 30, 32. Единицы результата: гектары. Взята общая площадь культуры, её подвиды повторно не добавляются.</t>
        </r>
      </text>
    </comment>
    <comment ref="D1" authorId="0" shapeId="0" xr:uid="{00000000-0006-0000-0100-000003000000}">
      <text>
        <r>
          <rPr>
            <sz val="8"/>
            <color indexed="81"/>
            <rFont val="Tahoma"/>
            <family val="2"/>
          </rPr>
          <t>2016, хозяйства всех категорий. Источник: DatasetSelkhoz.pdf, таблица 8, страницы 42, 44. Единицы результата: гектары. Взята общая площадь культуры, её подвиды повторно не добавляются.</t>
        </r>
      </text>
    </comment>
    <comment ref="E1" authorId="0" shapeId="0" xr:uid="{00000000-0006-0000-0100-000004000000}">
      <text>
        <r>
          <rPr>
            <sz val="8"/>
            <color indexed="81"/>
            <rFont val="Tahoma"/>
            <family val="2"/>
          </rPr>
          <t>2016, хозяйства всех категорий. Источник: DatasetSelkhoz.pdf, таблица 12, страницы 58. Единицы результата: гектары. Взята общая площадь культуры, её подвиды повторно не добавляются.</t>
        </r>
      </text>
    </comment>
    <comment ref="F1" authorId="0" shapeId="0" xr:uid="{00000000-0006-0000-0100-000005000000}">
      <text>
        <r>
          <rPr>
            <sz val="8"/>
            <color indexed="81"/>
            <rFont val="Tahoma"/>
            <family val="2"/>
          </rPr>
          <t>2016, хозяйства всех категорий. Источник: DatasetSelkhoz.pdf, таблица 6, страницы 34, 36. Единицы результата: гектары. Взята общая площадь культуры, её подвиды повторно не добавляются.</t>
        </r>
      </text>
    </comment>
    <comment ref="E2" authorId="0" shapeId="0" xr:uid="{00000000-0006-0000-0100-000006000000}">
      <text>
        <r>
          <rPr>
            <sz val="8"/>
            <color indexed="81"/>
            <rFont val="Tahoma"/>
            <family val="2"/>
          </rPr>
          <t>Строка этого округа отсутствует в таблице 12 PDF. Ячейка оставлена пустой: ноль не подставлен автоматически.</t>
        </r>
      </text>
    </comment>
    <comment ref="E3" authorId="0" shapeId="0" xr:uid="{00000000-0006-0000-0100-000007000000}">
      <text>
        <r>
          <rPr>
            <sz val="8"/>
            <color indexed="81"/>
            <rFont val="Tahoma"/>
            <family val="2"/>
          </rPr>
          <t>Строка этого округа отсутствует в таблице 12 PDF. Ячейка оставлена пустой: ноль не подставлен автоматически.</t>
        </r>
      </text>
    </comment>
    <comment ref="E6" authorId="0" shapeId="0" xr:uid="{00000000-0006-0000-0100-000008000000}">
      <text>
        <r>
          <rPr>
            <sz val="8"/>
            <color indexed="81"/>
            <rFont val="Tahoma"/>
            <family val="2"/>
          </rPr>
          <t>Строка этого округа отсутствует в таблице 12 PDF. Ячейка оставлена пустой: ноль не подставлен автоматически.</t>
        </r>
      </text>
    </comment>
    <comment ref="E7" authorId="0" shapeId="0" xr:uid="{00000000-0006-0000-0100-000009000000}">
      <text>
        <r>
          <rPr>
            <sz val="8"/>
            <color indexed="81"/>
            <rFont val="Tahoma"/>
            <family val="2"/>
          </rPr>
          <t>Строка этого округа отсутствует в таблице 12 PDF. Ячейка оставлена пустой: ноль не подставлен автоматически.</t>
        </r>
      </text>
    </comment>
    <comment ref="E8" authorId="0" shapeId="0" xr:uid="{00000000-0006-0000-0100-00000A000000}">
      <text>
        <r>
          <rPr>
            <sz val="8"/>
            <color indexed="81"/>
            <rFont val="Tahoma"/>
            <family val="2"/>
          </rPr>
          <t>Строка этого округа отсутствует в таблице 12 PDF. Ячейка оставлена пустой: ноль не подставлен автоматически.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200-000001000000}">
      <text>
        <r>
          <rPr>
            <sz val="8"/>
            <color indexed="81"/>
            <rFont val="Tahoma"/>
            <family val="2"/>
          </rPr>
          <t>Источник: DatasetSelkhoz.pdf, таблица 3, стр. 22, «Хозяйства всех категорий», строка «Центральный федеральный округ». Исходное значение: 4118,0 тыс. га.</t>
        </r>
      </text>
    </comment>
    <comment ref="D3" authorId="0" shapeId="0" xr:uid="{00000000-0006-0000-0200-000002000000}">
      <text>
        <r>
          <rPr>
            <sz val="8"/>
            <color indexed="81"/>
            <rFont val="Tahoma"/>
            <family val="2"/>
          </rPr>
          <t>Источник: DatasetSelkhoz.pdf, таблица 3, стр. 22, «Хозяйства всех категорий», строка «Северо-Западный федеральный округ». Исходное значение: 147,8 тыс. га.</t>
        </r>
      </text>
    </comment>
    <comment ref="D4" authorId="0" shapeId="0" xr:uid="{00000000-0006-0000-0200-000003000000}">
      <text>
        <r>
          <rPr>
            <sz val="8"/>
            <color indexed="81"/>
            <rFont val="Tahoma"/>
            <family val="2"/>
          </rPr>
          <t>Источник: DatasetSelkhoz.pdf, таблица 3, стр. 22, «Хозяйства всех категорий», строка «Южный федеральный округ». Исходное значение: 5523,3 тыс. га.</t>
        </r>
      </text>
    </comment>
    <comment ref="D5" authorId="0" shapeId="0" xr:uid="{00000000-0006-0000-0200-000004000000}">
      <text>
        <r>
          <rPr>
            <sz val="8"/>
            <color indexed="81"/>
            <rFont val="Tahoma"/>
            <family val="2"/>
          </rPr>
          <t>Источник: DatasetSelkhoz.pdf, таблица 3, стр. 22, «Хозяйства всех категорий», строка «Северо-Кавказский федеральный округ». Исходное значение: 2059,4 тыс. га.</t>
        </r>
      </text>
    </comment>
    <comment ref="D6" authorId="0" shapeId="0" xr:uid="{00000000-0006-0000-0200-000005000000}">
      <text>
        <r>
          <rPr>
            <sz val="8"/>
            <color indexed="81"/>
            <rFont val="Tahoma"/>
            <family val="2"/>
          </rPr>
          <t>Источник: DatasetSelkhoz.pdf, таблица 3, стр. 24, «Хозяйства всех категорий», строка «Приволжский федеральный округ». Исходное значение: 6813,5 тыс. га.</t>
        </r>
      </text>
    </comment>
    <comment ref="D7" authorId="0" shapeId="0" xr:uid="{00000000-0006-0000-0200-000006000000}">
      <text>
        <r>
          <rPr>
            <sz val="8"/>
            <color indexed="81"/>
            <rFont val="Tahoma"/>
            <family val="2"/>
          </rPr>
          <t>Источник: DatasetSelkhoz.pdf, таблица 3, стр. 24, «Хозяйства всех категорий», строка «Уральский федеральный округ». Исходное значение: 2389,9 тыс. га.</t>
        </r>
      </text>
    </comment>
    <comment ref="D8" authorId="0" shapeId="0" xr:uid="{00000000-0006-0000-0200-000007000000}">
      <text>
        <r>
          <rPr>
            <sz val="8"/>
            <color indexed="81"/>
            <rFont val="Tahoma"/>
            <family val="2"/>
          </rPr>
          <t>Источник: DatasetSelkhoz.pdf, таблица 3, стр. 24, «Хозяйства всех категорий», строка «Сибирский федеральный округ». Исходное значение: 6610,8 тыс. га.</t>
        </r>
      </text>
    </comment>
    <comment ref="D9" authorId="0" shapeId="0" xr:uid="{00000000-0006-0000-0200-000008000000}">
      <text>
        <r>
          <rPr>
            <sz val="8"/>
            <color indexed="81"/>
            <rFont val="Tahoma"/>
            <family val="2"/>
          </rPr>
          <t>Источник: DatasetSelkhoz.pdf, таблица 3, стр. 24, «Хозяйства всех категорий», строка «Республика Бурятия». Исходное значение: 40,1 тыс. га.</t>
        </r>
      </text>
    </comment>
    <comment ref="D10" authorId="0" shapeId="0" xr:uid="{00000000-0006-0000-0200-000009000000}">
      <text>
        <r>
          <rPr>
            <sz val="8"/>
            <color indexed="81"/>
            <rFont val="Tahoma"/>
            <family val="2"/>
          </rPr>
          <t>Источник: DatasetSelkhoz.pdf, таблица 3, стр. 24, «Хозяйства всех категорий», строка «Забайкальский край». Исходное значение: 75,3 тыс. га.</t>
        </r>
      </text>
    </comment>
    <comment ref="D11" authorId="0" shapeId="0" xr:uid="{00000000-0006-0000-0200-00000A000000}">
      <text>
        <r>
          <rPr>
            <sz val="8"/>
            <color indexed="81"/>
            <rFont val="Tahoma"/>
            <family val="2"/>
          </rPr>
          <t>Источник: DatasetSelkhoz.pdf, таблица 3, стр. 24, «Хозяйства всех категорий», строка «Дальневосточный федеральный округ». Исходное значение: 149,8 тыс. га.</t>
        </r>
      </text>
    </comment>
    <comment ref="D12" authorId="0" shapeId="0" xr:uid="{00000000-0006-0000-0200-00000B000000}">
      <text>
        <r>
          <rPr>
            <sz val="8"/>
            <color indexed="81"/>
            <rFont val="Tahoma"/>
            <family val="2"/>
          </rPr>
          <t>Источник: DatasetSelkhoz.pdf, таблица 5, стр. 30, «Хозяйства всех категорий», строка «Центральный федеральный округ». Исходное значение: 97189,6 га.</t>
        </r>
      </text>
    </comment>
    <comment ref="D13" authorId="0" shapeId="0" xr:uid="{00000000-0006-0000-0200-00000C000000}">
      <text>
        <r>
          <rPr>
            <sz val="8"/>
            <color indexed="81"/>
            <rFont val="Tahoma"/>
            <family val="2"/>
          </rPr>
          <t>Источник: DatasetSelkhoz.pdf, таблица 5, стр. 30, «Хозяйства всех категорий», строка «Северо-Западный федеральный округ». Исходное значение: 4380,0 га.</t>
        </r>
      </text>
    </comment>
    <comment ref="D14" authorId="0" shapeId="0" xr:uid="{00000000-0006-0000-0200-00000D000000}">
      <text>
        <r>
          <rPr>
            <sz val="8"/>
            <color indexed="81"/>
            <rFont val="Tahoma"/>
            <family val="2"/>
          </rPr>
          <t>Источник: DatasetSelkhoz.pdf, таблица 5, стр. 30, «Хозяйства всех категорий», строка «Южный федеральный округ». Исходное значение: 82753,0 га.</t>
        </r>
      </text>
    </comment>
    <comment ref="D15" authorId="0" shapeId="0" xr:uid="{00000000-0006-0000-0200-00000E000000}">
      <text>
        <r>
          <rPr>
            <sz val="8"/>
            <color indexed="81"/>
            <rFont val="Tahoma"/>
            <family val="2"/>
          </rPr>
          <t>Источник: DatasetSelkhoz.pdf, таблица 5, стр. 30, «Хозяйства всех категорий», строка «Северо-Кавказский федеральный округ». Исходное значение: 2200,6 га.</t>
        </r>
      </text>
    </comment>
    <comment ref="D16" authorId="0" shapeId="0" xr:uid="{00000000-0006-0000-0200-00000F000000}">
      <text>
        <r>
          <rPr>
            <sz val="8"/>
            <color indexed="81"/>
            <rFont val="Tahoma"/>
            <family val="2"/>
          </rPr>
          <t>Источник: DatasetSelkhoz.pdf, таблица 5, стр. 32, «Хозяйства всех категорий», строка «Приволжский федеральный округ». Исходное значение: 977963,6 га.</t>
        </r>
      </text>
    </comment>
    <comment ref="D17" authorId="0" shapeId="0" xr:uid="{00000000-0006-0000-0200-000010000000}">
      <text>
        <r>
          <rPr>
            <sz val="8"/>
            <color indexed="81"/>
            <rFont val="Tahoma"/>
            <family val="2"/>
          </rPr>
          <t>Источник: DatasetSelkhoz.pdf, таблица 5, стр. 32, «Хозяйства всех категорий», строка «Уральский федеральный округ». Исходное значение: 27042,8 га.</t>
        </r>
      </text>
    </comment>
    <comment ref="D18" authorId="0" shapeId="0" xr:uid="{00000000-0006-0000-0200-000011000000}">
      <text>
        <r>
          <rPr>
            <sz val="8"/>
            <color indexed="81"/>
            <rFont val="Tahoma"/>
            <family val="2"/>
          </rPr>
          <t>Источник: DatasetSelkhoz.pdf, таблица 5, стр. 32, «Хозяйства всех категорий», строка «Сибирский федеральный округ». Исходное значение: 100100,5 га.</t>
        </r>
      </text>
    </comment>
    <comment ref="D19" authorId="0" shapeId="0" xr:uid="{00000000-0006-0000-0200-000012000000}">
      <text>
        <r>
          <rPr>
            <sz val="8"/>
            <color indexed="81"/>
            <rFont val="Tahoma"/>
            <family val="2"/>
          </rPr>
          <t>Источник: DatasetSelkhoz.pdf, таблица 5, стр. 32, «Хозяйства всех категорий», строка «Республика Бурятия». Исходное значение: 565,0 га.</t>
        </r>
      </text>
    </comment>
    <comment ref="D20" authorId="0" shapeId="0" xr:uid="{00000000-0006-0000-0200-000013000000}">
      <text>
        <r>
          <rPr>
            <sz val="8"/>
            <color indexed="81"/>
            <rFont val="Tahoma"/>
            <family val="2"/>
          </rPr>
          <t>Источник: DatasetSelkhoz.pdf, таблица 5, стр. 32, «Хозяйства всех категорий», строка «Забайкальский край». Исходное значение: 259,5 га.</t>
        </r>
      </text>
    </comment>
    <comment ref="D21" authorId="0" shapeId="0" xr:uid="{00000000-0006-0000-0200-000014000000}">
      <text>
        <r>
          <rPr>
            <sz val="8"/>
            <color indexed="81"/>
            <rFont val="Tahoma"/>
            <family val="2"/>
          </rPr>
          <t>Источник: DatasetSelkhoz.pdf, таблица 5, стр. 32, «Хозяйства всех категорий», строка «Дальневосточный федеральный округ». Исходное значение: 478,7 га.</t>
        </r>
      </text>
    </comment>
    <comment ref="D22" authorId="0" shapeId="0" xr:uid="{00000000-0006-0000-0200-000015000000}">
      <text>
        <r>
          <rPr>
            <sz val="8"/>
            <color indexed="81"/>
            <rFont val="Tahoma"/>
            <family val="2"/>
          </rPr>
          <t>Источник: DatasetSelkhoz.pdf, таблица 8, стр. 42, «Хозяйства всех категорий», строка «Центральный федеральный округ». Исходное значение: 392420,6 га.</t>
        </r>
      </text>
    </comment>
    <comment ref="D23" authorId="0" shapeId="0" xr:uid="{00000000-0006-0000-0200-000016000000}">
      <text>
        <r>
          <rPr>
            <sz val="8"/>
            <color indexed="81"/>
            <rFont val="Tahoma"/>
            <family val="2"/>
          </rPr>
          <t>Источник: DatasetSelkhoz.pdf, таблица 8, стр. 42, «Хозяйства всех категорий», строка «Северо-Западный федеральный округ». Исходное значение: 52620,6 га.</t>
        </r>
      </text>
    </comment>
    <comment ref="D24" authorId="0" shapeId="0" xr:uid="{00000000-0006-0000-0200-000017000000}">
      <text>
        <r>
          <rPr>
            <sz val="8"/>
            <color indexed="81"/>
            <rFont val="Tahoma"/>
            <family val="2"/>
          </rPr>
          <t>Источник: DatasetSelkhoz.pdf, таблица 8, стр. 42, «Хозяйства всех категорий», строка «Южный федеральный округ». Исходное значение: 51142,2 га.</t>
        </r>
      </text>
    </comment>
    <comment ref="D25" authorId="0" shapeId="0" xr:uid="{00000000-0006-0000-0200-000018000000}">
      <text>
        <r>
          <rPr>
            <sz val="8"/>
            <color indexed="81"/>
            <rFont val="Tahoma"/>
            <family val="2"/>
          </rPr>
          <t>Источник: DatasetSelkhoz.pdf, таблица 8, стр. 42, «Хозяйства всех категорий», строка «Северо-Кавказский федеральный округ». Исходное значение: 54760,0 га.</t>
        </r>
      </text>
    </comment>
    <comment ref="D26" authorId="0" shapeId="0" xr:uid="{00000000-0006-0000-0200-000019000000}">
      <text>
        <r>
          <rPr>
            <sz val="8"/>
            <color indexed="81"/>
            <rFont val="Tahoma"/>
            <family val="2"/>
          </rPr>
          <t>Источник: DatasetSelkhoz.pdf, таблица 8, стр. 44, «Хозяйства всех категорий», строка «Приволжский федеральный округ». Исходное значение: 884741,8 га.</t>
        </r>
      </text>
    </comment>
    <comment ref="D27" authorId="0" shapeId="0" xr:uid="{00000000-0006-0000-0200-00001A000000}">
      <text>
        <r>
          <rPr>
            <sz val="8"/>
            <color indexed="81"/>
            <rFont val="Tahoma"/>
            <family val="2"/>
          </rPr>
          <t>Источник: DatasetSelkhoz.pdf, таблица 8, стр. 44, «Хозяйства всех категорий», строка «Уральский федеральный округ». Исходное значение: 265527,4 га.</t>
        </r>
      </text>
    </comment>
    <comment ref="D28" authorId="0" shapeId="0" xr:uid="{00000000-0006-0000-0200-00001B000000}">
      <text>
        <r>
          <rPr>
            <sz val="8"/>
            <color indexed="81"/>
            <rFont val="Tahoma"/>
            <family val="2"/>
          </rPr>
          <t>Источник: DatasetSelkhoz.pdf, таблица 8, стр. 44, «Хозяйства всех категорий», строка «Сибирский федеральный округ». Исходное значение: 1193174,9 га.</t>
        </r>
      </text>
    </comment>
    <comment ref="D29" authorId="0" shapeId="0" xr:uid="{00000000-0006-0000-0200-00001C000000}">
      <text>
        <r>
          <rPr>
            <sz val="8"/>
            <color indexed="81"/>
            <rFont val="Tahoma"/>
            <family val="2"/>
          </rPr>
          <t>Источник: DatasetSelkhoz.pdf, таблица 8, стр. 44, «Хозяйства всех категорий», строка «Республика Бурятия». Исходное значение: 27815,4 га.</t>
        </r>
      </text>
    </comment>
    <comment ref="D30" authorId="0" shapeId="0" xr:uid="{00000000-0006-0000-0200-00001D000000}">
      <text>
        <r>
          <rPr>
            <sz val="8"/>
            <color indexed="81"/>
            <rFont val="Tahoma"/>
            <family val="2"/>
          </rPr>
          <t>Источник: DatasetSelkhoz.pdf, таблица 8, стр. 44, «Хозяйства всех категорий», строка «Забайкальский край». Исходное значение: 53251,8 га.</t>
        </r>
      </text>
    </comment>
    <comment ref="D31" authorId="0" shapeId="0" xr:uid="{00000000-0006-0000-0200-00001E000000}">
      <text>
        <r>
          <rPr>
            <sz val="8"/>
            <color indexed="81"/>
            <rFont val="Tahoma"/>
            <family val="2"/>
          </rPr>
          <t>Источник: DatasetSelkhoz.pdf, таблица 8, стр. 44, «Хозяйства всех категорий», строка «Дальневосточный федеральный округ». Исходное значение: 63510,7 га.</t>
        </r>
      </text>
    </comment>
    <comment ref="D32" authorId="0" shapeId="0" xr:uid="{00000000-0006-0000-0200-00001F000000}">
      <text>
        <r>
          <rPr>
            <sz val="8"/>
            <color indexed="81"/>
            <rFont val="Tahoma"/>
            <family val="2"/>
          </rPr>
          <t>Источник: DatasetSelkhoz.pdf, таблица 12, стр. 58, «Хозяйства всех категорий», строка «Южный федеральный округ». Исходное значение: 163823,9 га.</t>
        </r>
      </text>
    </comment>
    <comment ref="D33" authorId="0" shapeId="0" xr:uid="{00000000-0006-0000-0200-000020000000}">
      <text>
        <r>
          <rPr>
            <sz val="8"/>
            <color indexed="81"/>
            <rFont val="Tahoma"/>
            <family val="2"/>
          </rPr>
          <t>Источник: DatasetSelkhoz.pdf, таблица 12, стр. 58, «Хозяйства всех категорий», строка «Северо-Кавказский федеральный округ». Исходное значение: 22129,3 га.</t>
        </r>
      </text>
    </comment>
    <comment ref="D34" authorId="0" shapeId="0" xr:uid="{00000000-0006-0000-0200-000021000000}">
      <text>
        <r>
          <rPr>
            <sz val="8"/>
            <color indexed="81"/>
            <rFont val="Tahoma"/>
            <family val="2"/>
          </rPr>
          <t>Источник: DatasetSelkhoz.pdf, таблица 12, стр. 58, «Хозяйства всех категорий», строка «Дальневосточный федеральный округ». Исходное значение: 21434,4 га.</t>
        </r>
      </text>
    </comment>
    <comment ref="D35" authorId="0" shapeId="0" xr:uid="{00000000-0006-0000-0200-000022000000}">
      <text>
        <r>
          <rPr>
            <sz val="8"/>
            <color indexed="81"/>
            <rFont val="Tahoma"/>
            <family val="2"/>
          </rPr>
          <t>Источник: DatasetSelkhoz.pdf, таблица 6, стр. 34, «Хозяйства всех категорий», строка «Центральный федеральный округ». Исходное значение: 2013,3 тыс. га.</t>
        </r>
      </text>
    </comment>
    <comment ref="D36" authorId="0" shapeId="0" xr:uid="{00000000-0006-0000-0200-000023000000}">
      <text>
        <r>
          <rPr>
            <sz val="8"/>
            <color indexed="81"/>
            <rFont val="Tahoma"/>
            <family val="2"/>
          </rPr>
          <t>Источник: DatasetSelkhoz.pdf, таблица 6, стр. 34, «Хозяйства всех категорий», строка «Северо-Западный федеральный округ». Исходное значение: 136,6 тыс. га.</t>
        </r>
      </text>
    </comment>
    <comment ref="D37" authorId="0" shapeId="0" xr:uid="{00000000-0006-0000-0200-000024000000}">
      <text>
        <r>
          <rPr>
            <sz val="8"/>
            <color indexed="81"/>
            <rFont val="Tahoma"/>
            <family val="2"/>
          </rPr>
          <t>Источник: DatasetSelkhoz.pdf, таблица 6, стр. 34, «Хозяйства всех категорий», строка «Южный федеральный округ». Исходное значение: 1202,3 тыс. га.</t>
        </r>
      </text>
    </comment>
    <comment ref="D38" authorId="0" shapeId="0" xr:uid="{00000000-0006-0000-0200-000025000000}">
      <text>
        <r>
          <rPr>
            <sz val="8"/>
            <color indexed="81"/>
            <rFont val="Tahoma"/>
            <family val="2"/>
          </rPr>
          <t>Источник: DatasetSelkhoz.pdf, таблица 6, стр. 34, «Хозяйства всех категорий», строка «Северо-Кавказский федеральный округ». Исходное значение: 315,6 тыс. га.</t>
        </r>
      </text>
    </comment>
    <comment ref="D39" authorId="0" shapeId="0" xr:uid="{00000000-0006-0000-0200-000026000000}">
      <text>
        <r>
          <rPr>
            <sz val="8"/>
            <color indexed="81"/>
            <rFont val="Tahoma"/>
            <family val="2"/>
          </rPr>
          <t>Источник: DatasetSelkhoz.pdf, таблица 6, стр. 36, «Хозяйства всех категорий», строка «Приволжский федеральный округ». Исходное значение: 2840,1 тыс. га.</t>
        </r>
      </text>
    </comment>
    <comment ref="D40" authorId="0" shapeId="0" xr:uid="{00000000-0006-0000-0200-000027000000}">
      <text>
        <r>
          <rPr>
            <sz val="8"/>
            <color indexed="81"/>
            <rFont val="Tahoma"/>
            <family val="2"/>
          </rPr>
          <t>Источник: DatasetSelkhoz.pdf, таблица 6, стр. 36, «Хозяйства всех категорий», строка «Уральский федеральный округ». Исходное значение: 706,6 тыс. га.</t>
        </r>
      </text>
    </comment>
    <comment ref="D41" authorId="0" shapeId="0" xr:uid="{00000000-0006-0000-0200-000028000000}">
      <text>
        <r>
          <rPr>
            <sz val="8"/>
            <color indexed="81"/>
            <rFont val="Tahoma"/>
            <family val="2"/>
          </rPr>
          <t>Источник: DatasetSelkhoz.pdf, таблица 6, стр. 36, «Хозяйства всех категорий», строка «Сибирский федеральный округ». Исходное значение: 1125,8 тыс. га.</t>
        </r>
      </text>
    </comment>
    <comment ref="D42" authorId="0" shapeId="0" xr:uid="{00000000-0006-0000-0200-000029000000}">
      <text>
        <r>
          <rPr>
            <sz val="8"/>
            <color indexed="81"/>
            <rFont val="Tahoma"/>
            <family val="2"/>
          </rPr>
          <t>Источник: DatasetSelkhoz.pdf, таблица 6, стр. 36, «Хозяйства всех категорий», строка «Республика Бурятия». Исходное значение: 5,8 тыс. га.</t>
        </r>
      </text>
    </comment>
    <comment ref="D43" authorId="0" shapeId="0" xr:uid="{00000000-0006-0000-0200-00002A000000}">
      <text>
        <r>
          <rPr>
            <sz val="8"/>
            <color indexed="81"/>
            <rFont val="Tahoma"/>
            <family val="2"/>
          </rPr>
          <t>Источник: DatasetSelkhoz.pdf, таблица 6, стр. 36, «Хозяйства всех категорий», строка «Забайкальский край». Исходное значение: 4,8 тыс. га.</t>
        </r>
      </text>
    </comment>
    <comment ref="D44" authorId="0" shapeId="0" xr:uid="{00000000-0006-0000-0200-00002B000000}">
      <text>
        <r>
          <rPr>
            <sz val="8"/>
            <color indexed="81"/>
            <rFont val="Tahoma"/>
            <family val="2"/>
          </rPr>
          <t>Источник: DatasetSelkhoz.pdf, таблица 6, стр. 36, «Хозяйства всех категорий», строка «Дальневосточный федеральный округ». Исходное значение: 40,3 тыс. га.</t>
        </r>
      </text>
    </comment>
  </commentList>
</comments>
</file>

<file path=xl/sharedStrings.xml><?xml version="1.0" encoding="utf-8"?>
<sst xmlns="http://schemas.openxmlformats.org/spreadsheetml/2006/main" count="253" uniqueCount="68">
  <si>
    <t>Культура</t>
  </si>
  <si>
    <t>Территория</t>
  </si>
  <si>
    <t>Год</t>
  </si>
  <si>
    <t>Значение в PDF</t>
  </si>
  <si>
    <t>Множитель в га</t>
  </si>
  <si>
    <t>Площадь, га</t>
  </si>
  <si>
    <t>Единица в PDF</t>
  </si>
  <si>
    <t>Таблица</t>
  </si>
  <si>
    <t>Страница PDF</t>
  </si>
  <si>
    <t>Пшеница</t>
  </si>
  <si>
    <t>Центральный федеральный округ</t>
  </si>
  <si>
    <t>2016</t>
  </si>
  <si>
    <t>тыс. га</t>
  </si>
  <si>
    <t>Северо-Западный федеральный округ</t>
  </si>
  <si>
    <t>Южный федеральный округ</t>
  </si>
  <si>
    <t>Северо-Кавказский федеральный округ</t>
  </si>
  <si>
    <t>Приволжский федеральный округ</t>
  </si>
  <si>
    <t>Уральский федеральный округ</t>
  </si>
  <si>
    <t>Сибирский федеральный округ</t>
  </si>
  <si>
    <t>Республика Бурятия</t>
  </si>
  <si>
    <t>Забайкальский край</t>
  </si>
  <si>
    <t>Дальневосточный федеральный округ</t>
  </si>
  <si>
    <t>Рожь</t>
  </si>
  <si>
    <t>га</t>
  </si>
  <si>
    <t>Овес</t>
  </si>
  <si>
    <t>Рис</t>
  </si>
  <si>
    <t>Ячмень</t>
  </si>
  <si>
    <t>Федеральный округ РФ</t>
  </si>
  <si>
    <t>Параметр</t>
  </si>
  <si>
    <t>Пояснение</t>
  </si>
  <si>
    <t>Что внутри</t>
  </si>
  <si>
    <t>Посевные площади пшеницы, ржи, овса, риса и ячменя под урожай 2016 года по федеральным округам РФ.</t>
  </si>
  <si>
    <t>Источник числовых данных</t>
  </si>
  <si>
    <t>Только прикреплённый DatasetSelkhoz.pdf: ВСХП-2016, том 4, книга 1, Росстат, 2018. Внешние источники не использованы.</t>
  </si>
  <si>
    <t>Первый лист — для Python</t>
  </si>
  <si>
    <t>«Площади 2016, га»: столбцы и порядок округов совпадают с предыдущим файлом валового сбора. Данные начинаются с A1; единица всех культур — гектары.</t>
  </si>
  <si>
    <t>Важное отличие границ</t>
  </si>
  <si>
    <t>В PDF Республика Бурятия и Забайкальский край включены в Сибирский округ (стр. 24, 32, 36, 44), а в ранее обработанных выгрузках валового сбора — в Дальневосточный. Без согласования границ расчёт по этим двум округам был бы некорректным.</t>
  </si>
  <si>
    <t>Как согласованы территории</t>
  </si>
  <si>
    <t>На первом листе площади Бурятии и Забайкальского края из этого же PDF вычтены из Сибирского округа и прибавлены к Дальневосточному. Для риса пересчёт не выполнялся: эти регионы в таблице 12 не перечислены.</t>
  </si>
  <si>
    <t>Оригинальная группировка</t>
  </si>
  <si>
    <t>На листе «Округа как в PDF» сохранены исходные итоги округов из документа, без переноса регионов. Это вариант для анализа в территориальной группировке самого PDF.</t>
  </si>
  <si>
    <t>Таблица 3, стр. 22 и 24: общая площадь пшеницы. Таблица 4 о твёрдой пшенице является детализацией и повторно не добавляется.</t>
  </si>
  <si>
    <t>Таблица 5, стр. 30 и 32: общая площадь ржи. Использован столбец «Хозяйства всех категорий».</t>
  </si>
  <si>
    <t>Таблица 8, стр. 42 и 44: общая площадь овса. Использован столбец «Хозяйства всех категорий».</t>
  </si>
  <si>
    <t>Таблица 12, стр. 58: площадь риса дана для Южного, Северо-Кавказского и Дальневосточного округов. Другие округа не перечислены; соответствующие ячейки оставлены пустыми, а не заменены нулями.</t>
  </si>
  <si>
    <t>Таблица 6, стр. 34 и 36: общая площадь ячменя. Таблица 7 о пивоваренном ячмене является детализацией и повторно не добавляется.</t>
  </si>
  <si>
    <t>Единицы и точность</t>
  </si>
  <si>
    <t>Пшеница и ячмень в PDF — тыс. га (окружные итоги округлены до 0,1 тыс. га); они умножены на 1000. Рожь, овес и рис в региональных строках уже даны в гектарах. Перевод единиц не повышает точность исходных данных.</t>
  </si>
  <si>
    <t>Хозяйства всех категорий</t>
  </si>
  <si>
    <t>Взяты готовые общие итоги: сельхозорганизации, КФХ/ИП и хозяйства населения. Категории и подкатегории повторно не суммируются.</t>
  </si>
  <si>
    <t>Отсутствие двойного счёта</t>
  </si>
  <si>
    <t>Использованы уже суммарные показатели каждой культуры, а не сумма общих итогов и вложенных подвидов (например, всей пшеницы и твёрдой пшеницы).</t>
  </si>
  <si>
    <t>Проверка извлечения</t>
  </si>
  <si>
    <t>Суммы округов сверены с итогами по РФ в пределах округления. Площади: пшеница 27 812 500 га; ячмень 8 380 600 га; рис 207 387,6 га. Изменение группировки двух регионов не изменяет общую сумму.</t>
  </si>
  <si>
    <t>Для расчёта в т/га</t>
  </si>
  <si>
    <t>Предыдущий файл валового сбора имеет единицу «тысяча центнеров», не тонны. При площади в гектарах: т/га = валовой сбор × 100 / площадь. Например, в pandas: production[crops].mul(100).div(area[crops]).</t>
  </si>
  <si>
    <t>Не официальная урожайность</t>
  </si>
  <si>
    <t>Деление валового сбора на посевную площадь даёт выход продукции на гектар посевов, а не показатель на гектар убранной площади. Урожайность в этом файле не рассчитывается.</t>
  </si>
  <si>
    <t>Разные статистические источники</t>
  </si>
  <si>
    <t>Здесь — перепись 2016 года, ранее — выгрузки текущей статистики производства. Даже при согласованных годе и территориях сопоставимость не является полной; для воспроизведения официальной урожайности нужны совместимые данные, в том числе по убранной площади.</t>
  </si>
  <si>
    <t>Пропуски в производстве</t>
  </si>
  <si>
    <t>В предыдущем файле при частичных пропусках суммировались доступные значения субъектов. Пустые показатели нельзя автоматически считать нулевыми; это ограничение сохраняется для будущего расчёта.</t>
  </si>
  <si>
    <t>Служебная информация</t>
  </si>
  <si>
    <t>Подготовлено 19.10.2026. Расчётные поля сохранены как формулы Excel с рассчитанными значениями для чтения через pandas/openpyxl.</t>
  </si>
  <si>
    <t>Основная таблица для Python</t>
  </si>
  <si>
    <t>Итоги в группировке PDF</t>
  </si>
  <si>
    <t>Исходные значения со страницами 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</si>
</sst>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563C1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3" fillId="0" borderId="0" xfId="0" applyFont="1"/>
  </cellXfs>
  <cellStyles count="1">
    <cellStyle name="Обычный" xfId="0" builtinId="0"/>
  </cellStyles>
  <dxfs count="9"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reas2016Comparable" displayName="Areas2016Comparable" ref="A1:E9" totalsRowShown="0">
  <autoFilter ref="A1:E9" xr:uid="{00000000-0009-0000-0100-000001000000}"/>
  <tableColumns count="5">
    <tableColumn id="1" xr3:uid="{00000000-0010-0000-0000-000001000000}" name="Федеральный округ РФ"/>
    <tableColumn id="2" xr3:uid="{00000000-0010-0000-0000-000002000000}" name="Пшеница" dataDxfId="8"/>
    <tableColumn id="3" xr3:uid="{00000000-0010-0000-0000-000003000000}" name="Рожь" dataDxfId="7"/>
    <tableColumn id="4" xr3:uid="{00000000-0010-0000-0000-000004000000}" name="Овес" dataDxfId="6"/>
    <tableColumn id="6" xr3:uid="{00000000-0010-0000-0000-000006000000}" name="Ячмень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reas2016PDF" displayName="Areas2016PDF" ref="A1:F9" totalsRowShown="0">
  <autoFilter ref="A1:F9" xr:uid="{00000000-0009-0000-0100-000002000000}"/>
  <tableColumns count="6">
    <tableColumn id="1" xr3:uid="{00000000-0010-0000-0100-000001000000}" name="Федеральный округ РФ"/>
    <tableColumn id="2" xr3:uid="{00000000-0010-0000-0100-000002000000}" name="Пшеница" dataDxfId="4"/>
    <tableColumn id="3" xr3:uid="{00000000-0010-0000-0100-000003000000}" name="Рожь" dataDxfId="3"/>
    <tableColumn id="4" xr3:uid="{00000000-0010-0000-0100-000004000000}" name="Овес" dataDxfId="2"/>
    <tableColumn id="5" xr3:uid="{00000000-0010-0000-0100-000005000000}" name="Рис" dataDxfId="1"/>
    <tableColumn id="6" xr3:uid="{00000000-0010-0000-0100-000006000000}" name="Ячмень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reaSource" displayName="AreaSource" ref="A1:I44" totalsRowShown="0">
  <autoFilter ref="A1:I44" xr:uid="{00000000-0009-0000-0100-000003000000}"/>
  <tableColumns count="9">
    <tableColumn id="1" xr3:uid="{00000000-0010-0000-0200-000001000000}" name="Культура"/>
    <tableColumn id="2" xr3:uid="{00000000-0010-0000-0200-000002000000}" name="Территория"/>
    <tableColumn id="3" xr3:uid="{00000000-0010-0000-0200-000003000000}" name="Год"/>
    <tableColumn id="4" xr3:uid="{00000000-0010-0000-0200-000004000000}" name="Значение в PDF"/>
    <tableColumn id="5" xr3:uid="{00000000-0010-0000-0200-000005000000}" name="Множитель в га"/>
    <tableColumn id="6" xr3:uid="{00000000-0010-0000-0200-000006000000}" name="Площадь, га"/>
    <tableColumn id="7" xr3:uid="{00000000-0010-0000-0200-000007000000}" name="Единица в PDF"/>
    <tableColumn id="8" xr3:uid="{00000000-0010-0000-0200-000008000000}" name="Таблица"/>
    <tableColumn id="9" xr3:uid="{00000000-0010-0000-0200-000009000000}" name="Страница PD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9"/>
  <sheetViews>
    <sheetView showGridLines="0" tabSelected="1" zoomScale="132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3" sqref="L13:L14"/>
    </sheetView>
  </sheetViews>
  <sheetFormatPr baseColWidth="10" defaultColWidth="8.83203125" defaultRowHeight="21" customHeight="1" x14ac:dyDescent="0.2"/>
  <cols>
    <col min="1" max="1" width="43.6640625" customWidth="1"/>
    <col min="2" max="5" width="19.6640625" style="1" customWidth="1"/>
  </cols>
  <sheetData>
    <row r="1" spans="1:5" ht="32" customHeight="1" x14ac:dyDescent="0.2">
      <c r="A1" t="s">
        <v>27</v>
      </c>
      <c r="B1" t="s">
        <v>9</v>
      </c>
      <c r="C1" t="s">
        <v>22</v>
      </c>
      <c r="D1" t="s">
        <v>24</v>
      </c>
      <c r="E1" t="s">
        <v>26</v>
      </c>
    </row>
    <row r="2" spans="1:5" ht="21" customHeight="1" x14ac:dyDescent="0.2">
      <c r="A2" t="s">
        <v>10</v>
      </c>
      <c r="B2">
        <v>4118000</v>
      </c>
      <c r="C2">
        <v>97189.6</v>
      </c>
      <c r="D2">
        <v>392420.6</v>
      </c>
      <c r="E2">
        <v>2013300</v>
      </c>
    </row>
    <row r="3" spans="1:5" ht="21" customHeight="1" x14ac:dyDescent="0.2">
      <c r="A3" t="s">
        <v>13</v>
      </c>
      <c r="B3">
        <v>147800</v>
      </c>
      <c r="C3">
        <v>4380</v>
      </c>
      <c r="D3">
        <v>52620.6</v>
      </c>
      <c r="E3">
        <v>136600</v>
      </c>
    </row>
    <row r="4" spans="1:5" ht="21" customHeight="1" x14ac:dyDescent="0.2">
      <c r="A4" t="s">
        <v>14</v>
      </c>
      <c r="B4">
        <v>5523300</v>
      </c>
      <c r="C4">
        <v>82753</v>
      </c>
      <c r="D4">
        <v>51142.2</v>
      </c>
      <c r="E4">
        <v>1202300</v>
      </c>
    </row>
    <row r="5" spans="1:5" ht="21" customHeight="1" x14ac:dyDescent="0.2">
      <c r="A5" t="s">
        <v>15</v>
      </c>
      <c r="B5">
        <v>2059400</v>
      </c>
      <c r="C5">
        <v>2200.6</v>
      </c>
      <c r="D5">
        <v>54760</v>
      </c>
      <c r="E5">
        <v>315600</v>
      </c>
    </row>
    <row r="6" spans="1:5" ht="21" customHeight="1" x14ac:dyDescent="0.2">
      <c r="A6" t="s">
        <v>16</v>
      </c>
      <c r="B6">
        <v>6813500</v>
      </c>
      <c r="C6">
        <v>977963.6</v>
      </c>
      <c r="D6">
        <v>884741.8</v>
      </c>
      <c r="E6">
        <v>2840100</v>
      </c>
    </row>
    <row r="7" spans="1:5" ht="21" customHeight="1" x14ac:dyDescent="0.2">
      <c r="A7" t="s">
        <v>17</v>
      </c>
      <c r="B7">
        <v>2389900</v>
      </c>
      <c r="C7">
        <v>27042.799999999999</v>
      </c>
      <c r="D7">
        <v>265527.40000000002</v>
      </c>
      <c r="E7">
        <v>706600</v>
      </c>
    </row>
    <row r="8" spans="1:5" ht="21" customHeight="1" x14ac:dyDescent="0.2">
      <c r="A8" t="s">
        <v>18</v>
      </c>
      <c r="B8">
        <v>6495400</v>
      </c>
      <c r="C8">
        <v>99276</v>
      </c>
      <c r="D8">
        <v>1112107.7</v>
      </c>
      <c r="E8">
        <v>1115200</v>
      </c>
    </row>
    <row r="9" spans="1:5" ht="21" customHeight="1" x14ac:dyDescent="0.2">
      <c r="A9" t="s">
        <v>21</v>
      </c>
      <c r="B9">
        <v>265200</v>
      </c>
      <c r="C9">
        <v>1303.2</v>
      </c>
      <c r="D9">
        <v>144577.9</v>
      </c>
      <c r="E9">
        <v>50900</v>
      </c>
    </row>
  </sheetData>
  <pageMargins left="0.7" right="0.7" top="0.75" bottom="0.75" header="0.3" footer="0.3"/>
  <pageSetup orientation="landscape"/>
  <headerFooter>
    <oddFooter>&amp;C2016 | Посевная площадь | Гектары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9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83203125" defaultRowHeight="21" customHeight="1" x14ac:dyDescent="0.2"/>
  <cols>
    <col min="1" max="1" width="43.6640625" customWidth="1"/>
    <col min="2" max="6" width="19.6640625" style="1" customWidth="1"/>
  </cols>
  <sheetData>
    <row r="1" spans="1:6" ht="32" customHeight="1" x14ac:dyDescent="0.2">
      <c r="A1" s="2" t="s">
        <v>27</v>
      </c>
      <c r="B1" s="2" t="s">
        <v>9</v>
      </c>
      <c r="C1" s="2" t="s">
        <v>22</v>
      </c>
      <c r="D1" s="2" t="s">
        <v>24</v>
      </c>
      <c r="E1" s="2" t="s">
        <v>25</v>
      </c>
      <c r="F1" s="2" t="s">
        <v>26</v>
      </c>
    </row>
    <row r="2" spans="1:6" ht="21" customHeight="1" x14ac:dyDescent="0.2">
      <c r="A2" t="s">
        <v>10</v>
      </c>
      <c r="B2" s="1">
        <f>IF(COUNTIFS(AreaSource[Культура],B$1,AreaSource[Территория],$A2)=0,"",ROUND(SUMIFS(AreaSource[Площадь, га],AreaSource[Культура],B$1,AreaSource[Территория],$A2),1))</f>
        <v>4118000</v>
      </c>
      <c r="C2" s="1">
        <f>IF(COUNTIFS(AreaSource[Культура],C$1,AreaSource[Территория],$A2)=0,"",ROUND(SUMIFS(AreaSource[Площадь, га],AreaSource[Культура],C$1,AreaSource[Территория],$A2),1))</f>
        <v>97189.6</v>
      </c>
      <c r="D2" s="1">
        <f>IF(COUNTIFS(AreaSource[Культура],D$1,AreaSource[Территория],$A2)=0,"",ROUND(SUMIFS(AreaSource[Площадь, га],AreaSource[Культура],D$1,AreaSource[Территория],$A2),1))</f>
        <v>392420.6</v>
      </c>
      <c r="E2" s="1" t="str">
        <f>IF(COUNTIFS(AreaSource[Культура],E$1,AreaSource[Территория],$A2)=0,"",ROUND(SUMIFS(AreaSource[Площадь, га],AreaSource[Культура],E$1,AreaSource[Территория],$A2),1))</f>
        <v/>
      </c>
      <c r="F2" s="1">
        <f>IF(COUNTIFS(AreaSource[Культура],F$1,AreaSource[Территория],$A2)=0,"",ROUND(SUMIFS(AreaSource[Площадь, га],AreaSource[Культура],F$1,AreaSource[Территория],$A2),1))</f>
        <v>2013300</v>
      </c>
    </row>
    <row r="3" spans="1:6" ht="21" customHeight="1" x14ac:dyDescent="0.2">
      <c r="A3" t="s">
        <v>13</v>
      </c>
      <c r="B3" s="1">
        <f>IF(COUNTIFS(AreaSource[Культура],B$1,AreaSource[Территория],$A3)=0,"",ROUND(SUMIFS(AreaSource[Площадь, га],AreaSource[Культура],B$1,AreaSource[Территория],$A3),1))</f>
        <v>147800</v>
      </c>
      <c r="C3" s="1">
        <f>IF(COUNTIFS(AreaSource[Культура],C$1,AreaSource[Территория],$A3)=0,"",ROUND(SUMIFS(AreaSource[Площадь, га],AreaSource[Культура],C$1,AreaSource[Территория],$A3),1))</f>
        <v>4380</v>
      </c>
      <c r="D3" s="1">
        <f>IF(COUNTIFS(AreaSource[Культура],D$1,AreaSource[Территория],$A3)=0,"",ROUND(SUMIFS(AreaSource[Площадь, га],AreaSource[Культура],D$1,AreaSource[Территория],$A3),1))</f>
        <v>52620.6</v>
      </c>
      <c r="E3" s="1" t="str">
        <f>IF(COUNTIFS(AreaSource[Культура],E$1,AreaSource[Территория],$A3)=0,"",ROUND(SUMIFS(AreaSource[Площадь, га],AreaSource[Культура],E$1,AreaSource[Территория],$A3),1))</f>
        <v/>
      </c>
      <c r="F3" s="1">
        <f>IF(COUNTIFS(AreaSource[Культура],F$1,AreaSource[Территория],$A3)=0,"",ROUND(SUMIFS(AreaSource[Площадь, га],AreaSource[Культура],F$1,AreaSource[Территория],$A3),1))</f>
        <v>136600</v>
      </c>
    </row>
    <row r="4" spans="1:6" ht="21" customHeight="1" x14ac:dyDescent="0.2">
      <c r="A4" t="s">
        <v>14</v>
      </c>
      <c r="B4" s="1">
        <f>IF(COUNTIFS(AreaSource[Культура],B$1,AreaSource[Территория],$A4)=0,"",ROUND(SUMIFS(AreaSource[Площадь, га],AreaSource[Культура],B$1,AreaSource[Территория],$A4),1))</f>
        <v>5523300</v>
      </c>
      <c r="C4" s="1">
        <f>IF(COUNTIFS(AreaSource[Культура],C$1,AreaSource[Территория],$A4)=0,"",ROUND(SUMIFS(AreaSource[Площадь, га],AreaSource[Культура],C$1,AreaSource[Территория],$A4),1))</f>
        <v>82753</v>
      </c>
      <c r="D4" s="1">
        <f>IF(COUNTIFS(AreaSource[Культура],D$1,AreaSource[Территория],$A4)=0,"",ROUND(SUMIFS(AreaSource[Площадь, га],AreaSource[Культура],D$1,AreaSource[Территория],$A4),1))</f>
        <v>51142.2</v>
      </c>
      <c r="E4" s="1">
        <f>IF(COUNTIFS(AreaSource[Культура],E$1,AreaSource[Территория],$A4)=0,"",ROUND(SUMIFS(AreaSource[Площадь, га],AreaSource[Культура],E$1,AreaSource[Территория],$A4),1))</f>
        <v>163823.9</v>
      </c>
      <c r="F4" s="1">
        <f>IF(COUNTIFS(AreaSource[Культура],F$1,AreaSource[Территория],$A4)=0,"",ROUND(SUMIFS(AreaSource[Площадь, га],AreaSource[Культура],F$1,AreaSource[Территория],$A4),1))</f>
        <v>1202300</v>
      </c>
    </row>
    <row r="5" spans="1:6" ht="21" customHeight="1" x14ac:dyDescent="0.2">
      <c r="A5" t="s">
        <v>15</v>
      </c>
      <c r="B5" s="1">
        <f>IF(COUNTIFS(AreaSource[Культура],B$1,AreaSource[Территория],$A5)=0,"",ROUND(SUMIFS(AreaSource[Площадь, га],AreaSource[Культура],B$1,AreaSource[Территория],$A5),1))</f>
        <v>2059400</v>
      </c>
      <c r="C5" s="1">
        <f>IF(COUNTIFS(AreaSource[Культура],C$1,AreaSource[Территория],$A5)=0,"",ROUND(SUMIFS(AreaSource[Площадь, га],AreaSource[Культура],C$1,AreaSource[Территория],$A5),1))</f>
        <v>2200.6</v>
      </c>
      <c r="D5" s="1">
        <f>IF(COUNTIFS(AreaSource[Культура],D$1,AreaSource[Территория],$A5)=0,"",ROUND(SUMIFS(AreaSource[Площадь, га],AreaSource[Культура],D$1,AreaSource[Территория],$A5),1))</f>
        <v>54760</v>
      </c>
      <c r="E5" s="1">
        <f>IF(COUNTIFS(AreaSource[Культура],E$1,AreaSource[Территория],$A5)=0,"",ROUND(SUMIFS(AreaSource[Площадь, га],AreaSource[Культура],E$1,AreaSource[Территория],$A5),1))</f>
        <v>22129.3</v>
      </c>
      <c r="F5" s="1">
        <f>IF(COUNTIFS(AreaSource[Культура],F$1,AreaSource[Территория],$A5)=0,"",ROUND(SUMIFS(AreaSource[Площадь, га],AreaSource[Культура],F$1,AreaSource[Территория],$A5),1))</f>
        <v>315600</v>
      </c>
    </row>
    <row r="6" spans="1:6" ht="21" customHeight="1" x14ac:dyDescent="0.2">
      <c r="A6" t="s">
        <v>16</v>
      </c>
      <c r="B6" s="1">
        <f>IF(COUNTIFS(AreaSource[Культура],B$1,AreaSource[Территория],$A6)=0,"",ROUND(SUMIFS(AreaSource[Площадь, га],AreaSource[Культура],B$1,AreaSource[Территория],$A6),1))</f>
        <v>6813500</v>
      </c>
      <c r="C6" s="1">
        <f>IF(COUNTIFS(AreaSource[Культура],C$1,AreaSource[Территория],$A6)=0,"",ROUND(SUMIFS(AreaSource[Площадь, га],AreaSource[Культура],C$1,AreaSource[Территория],$A6),1))</f>
        <v>977963.6</v>
      </c>
      <c r="D6" s="1">
        <f>IF(COUNTIFS(AreaSource[Культура],D$1,AreaSource[Территория],$A6)=0,"",ROUND(SUMIFS(AreaSource[Площадь, га],AreaSource[Культура],D$1,AreaSource[Территория],$A6),1))</f>
        <v>884741.8</v>
      </c>
      <c r="E6" s="1" t="str">
        <f>IF(COUNTIFS(AreaSource[Культура],E$1,AreaSource[Территория],$A6)=0,"",ROUND(SUMIFS(AreaSource[Площадь, га],AreaSource[Культура],E$1,AreaSource[Территория],$A6),1))</f>
        <v/>
      </c>
      <c r="F6" s="1">
        <f>IF(COUNTIFS(AreaSource[Культура],F$1,AreaSource[Территория],$A6)=0,"",ROUND(SUMIFS(AreaSource[Площадь, га],AreaSource[Культура],F$1,AreaSource[Территория],$A6),1))</f>
        <v>2840100</v>
      </c>
    </row>
    <row r="7" spans="1:6" ht="21" customHeight="1" x14ac:dyDescent="0.2">
      <c r="A7" t="s">
        <v>17</v>
      </c>
      <c r="B7" s="1">
        <f>IF(COUNTIFS(AreaSource[Культура],B$1,AreaSource[Территория],$A7)=0,"",ROUND(SUMIFS(AreaSource[Площадь, га],AreaSource[Культура],B$1,AreaSource[Территория],$A7),1))</f>
        <v>2389900</v>
      </c>
      <c r="C7" s="1">
        <f>IF(COUNTIFS(AreaSource[Культура],C$1,AreaSource[Территория],$A7)=0,"",ROUND(SUMIFS(AreaSource[Площадь, га],AreaSource[Культура],C$1,AreaSource[Территория],$A7),1))</f>
        <v>27042.799999999999</v>
      </c>
      <c r="D7" s="1">
        <f>IF(COUNTIFS(AreaSource[Культура],D$1,AreaSource[Территория],$A7)=0,"",ROUND(SUMIFS(AreaSource[Площадь, га],AreaSource[Культура],D$1,AreaSource[Территория],$A7),1))</f>
        <v>265527.40000000002</v>
      </c>
      <c r="E7" s="1" t="str">
        <f>IF(COUNTIFS(AreaSource[Культура],E$1,AreaSource[Территория],$A7)=0,"",ROUND(SUMIFS(AreaSource[Площадь, га],AreaSource[Культура],E$1,AreaSource[Территория],$A7),1))</f>
        <v/>
      </c>
      <c r="F7" s="1">
        <f>IF(COUNTIFS(AreaSource[Культура],F$1,AreaSource[Территория],$A7)=0,"",ROUND(SUMIFS(AreaSource[Площадь, га],AreaSource[Культура],F$1,AreaSource[Территория],$A7),1))</f>
        <v>706600</v>
      </c>
    </row>
    <row r="8" spans="1:6" ht="21" customHeight="1" x14ac:dyDescent="0.2">
      <c r="A8" t="s">
        <v>18</v>
      </c>
      <c r="B8" s="1">
        <f>IF(COUNTIFS(AreaSource[Культура],B$1,AreaSource[Территория],$A8)=0,"",ROUND(SUMIFS(AreaSource[Площадь, га],AreaSource[Культура],B$1,AreaSource[Территория],$A8),1))</f>
        <v>6610800</v>
      </c>
      <c r="C8" s="1">
        <f>IF(COUNTIFS(AreaSource[Культура],C$1,AreaSource[Территория],$A8)=0,"",ROUND(SUMIFS(AreaSource[Площадь, га],AreaSource[Культура],C$1,AreaSource[Территория],$A8),1))</f>
        <v>100100.5</v>
      </c>
      <c r="D8" s="1">
        <f>IF(COUNTIFS(AreaSource[Культура],D$1,AreaSource[Территория],$A8)=0,"",ROUND(SUMIFS(AreaSource[Площадь, га],AreaSource[Культура],D$1,AreaSource[Территория],$A8),1))</f>
        <v>1193174.8999999999</v>
      </c>
      <c r="E8" s="1" t="str">
        <f>IF(COUNTIFS(AreaSource[Культура],E$1,AreaSource[Территория],$A8)=0,"",ROUND(SUMIFS(AreaSource[Площадь, га],AreaSource[Культура],E$1,AreaSource[Территория],$A8),1))</f>
        <v/>
      </c>
      <c r="F8" s="1">
        <f>IF(COUNTIFS(AreaSource[Культура],F$1,AreaSource[Территория],$A8)=0,"",ROUND(SUMIFS(AreaSource[Площадь, га],AreaSource[Культура],F$1,AreaSource[Территория],$A8),1))</f>
        <v>1125800</v>
      </c>
    </row>
    <row r="9" spans="1:6" ht="21" customHeight="1" x14ac:dyDescent="0.2">
      <c r="A9" t="s">
        <v>21</v>
      </c>
      <c r="B9" s="1">
        <f>IF(COUNTIFS(AreaSource[Культура],B$1,AreaSource[Территория],$A9)=0,"",ROUND(SUMIFS(AreaSource[Площадь, га],AreaSource[Культура],B$1,AreaSource[Территория],$A9),1))</f>
        <v>149800</v>
      </c>
      <c r="C9" s="1">
        <f>IF(COUNTIFS(AreaSource[Культура],C$1,AreaSource[Территория],$A9)=0,"",ROUND(SUMIFS(AreaSource[Площадь, га],AreaSource[Культура],C$1,AreaSource[Территория],$A9),1))</f>
        <v>478.7</v>
      </c>
      <c r="D9" s="1">
        <f>IF(COUNTIFS(AreaSource[Культура],D$1,AreaSource[Территория],$A9)=0,"",ROUND(SUMIFS(AreaSource[Площадь, га],AreaSource[Культура],D$1,AreaSource[Территория],$A9),1))</f>
        <v>63510.7</v>
      </c>
      <c r="E9" s="1">
        <f>IF(COUNTIFS(AreaSource[Культура],E$1,AreaSource[Территория],$A9)=0,"",ROUND(SUMIFS(AreaSource[Площадь, га],AreaSource[Культура],E$1,AreaSource[Территория],$A9),1))</f>
        <v>21434.400000000001</v>
      </c>
      <c r="F9" s="1">
        <f>IF(COUNTIFS(AreaSource[Культура],F$1,AreaSource[Территория],$A9)=0,"",ROUND(SUMIFS(AreaSource[Площадь, га],AreaSource[Культура],F$1,AreaSource[Территория],$A9),1))</f>
        <v>40300</v>
      </c>
    </row>
  </sheetData>
  <pageMargins left="0.7" right="0.7" top="0.75" bottom="0.75" header="0.3" footer="0.3"/>
  <pageSetup orientation="landscape"/>
  <headerFooter>
    <oddFooter>&amp;C2016 | Посевная площадь | Гектары</oddFooter>
  </headerFooter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4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83203125" defaultRowHeight="15" x14ac:dyDescent="0.2"/>
  <cols>
    <col min="1" max="1" width="17.6640625" customWidth="1"/>
    <col min="2" max="2" width="44.6640625" customWidth="1"/>
    <col min="3" max="3" width="10.6640625" customWidth="1"/>
    <col min="4" max="6" width="20.6640625" style="1" customWidth="1"/>
    <col min="7" max="9" width="18.6640625" customWidth="1"/>
  </cols>
  <sheetData>
    <row r="1" spans="1:9" ht="34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t="s">
        <v>9</v>
      </c>
      <c r="B2" t="s">
        <v>10</v>
      </c>
      <c r="C2" t="s">
        <v>11</v>
      </c>
      <c r="D2">
        <v>4118</v>
      </c>
      <c r="E2">
        <v>1000</v>
      </c>
      <c r="F2" s="1">
        <v>4118000</v>
      </c>
      <c r="G2" t="s">
        <v>12</v>
      </c>
      <c r="H2">
        <v>3</v>
      </c>
      <c r="I2">
        <v>22</v>
      </c>
    </row>
    <row r="3" spans="1:9" x14ac:dyDescent="0.2">
      <c r="A3" t="s">
        <v>9</v>
      </c>
      <c r="B3" t="s">
        <v>13</v>
      </c>
      <c r="C3" t="s">
        <v>11</v>
      </c>
      <c r="D3">
        <v>147.80000000000001</v>
      </c>
      <c r="E3">
        <v>1000</v>
      </c>
      <c r="F3" s="1">
        <v>147800</v>
      </c>
      <c r="G3" t="s">
        <v>12</v>
      </c>
      <c r="H3">
        <v>3</v>
      </c>
      <c r="I3">
        <v>22</v>
      </c>
    </row>
    <row r="4" spans="1:9" x14ac:dyDescent="0.2">
      <c r="A4" t="s">
        <v>9</v>
      </c>
      <c r="B4" t="s">
        <v>14</v>
      </c>
      <c r="C4" t="s">
        <v>11</v>
      </c>
      <c r="D4">
        <v>5523.3</v>
      </c>
      <c r="E4">
        <v>1000</v>
      </c>
      <c r="F4" s="1">
        <v>5523300</v>
      </c>
      <c r="G4" t="s">
        <v>12</v>
      </c>
      <c r="H4">
        <v>3</v>
      </c>
      <c r="I4">
        <v>22</v>
      </c>
    </row>
    <row r="5" spans="1:9" x14ac:dyDescent="0.2">
      <c r="A5" t="s">
        <v>9</v>
      </c>
      <c r="B5" t="s">
        <v>15</v>
      </c>
      <c r="C5" t="s">
        <v>11</v>
      </c>
      <c r="D5">
        <v>2059.4</v>
      </c>
      <c r="E5">
        <v>1000</v>
      </c>
      <c r="F5" s="1">
        <v>2059400</v>
      </c>
      <c r="G5" t="s">
        <v>12</v>
      </c>
      <c r="H5">
        <v>3</v>
      </c>
      <c r="I5">
        <v>22</v>
      </c>
    </row>
    <row r="6" spans="1:9" x14ac:dyDescent="0.2">
      <c r="A6" t="s">
        <v>9</v>
      </c>
      <c r="B6" t="s">
        <v>16</v>
      </c>
      <c r="C6" t="s">
        <v>11</v>
      </c>
      <c r="D6">
        <v>6813.5</v>
      </c>
      <c r="E6">
        <v>1000</v>
      </c>
      <c r="F6" s="1">
        <v>6813500</v>
      </c>
      <c r="G6" t="s">
        <v>12</v>
      </c>
      <c r="H6">
        <v>3</v>
      </c>
      <c r="I6">
        <v>24</v>
      </c>
    </row>
    <row r="7" spans="1:9" x14ac:dyDescent="0.2">
      <c r="A7" t="s">
        <v>9</v>
      </c>
      <c r="B7" t="s">
        <v>17</v>
      </c>
      <c r="C7" t="s">
        <v>11</v>
      </c>
      <c r="D7">
        <v>2389.9</v>
      </c>
      <c r="E7">
        <v>1000</v>
      </c>
      <c r="F7" s="1">
        <v>2389900</v>
      </c>
      <c r="G7" t="s">
        <v>12</v>
      </c>
      <c r="H7">
        <v>3</v>
      </c>
      <c r="I7">
        <v>24</v>
      </c>
    </row>
    <row r="8" spans="1:9" x14ac:dyDescent="0.2">
      <c r="A8" t="s">
        <v>9</v>
      </c>
      <c r="B8" t="s">
        <v>18</v>
      </c>
      <c r="C8" t="s">
        <v>11</v>
      </c>
      <c r="D8">
        <v>6610.8</v>
      </c>
      <c r="E8">
        <v>1000</v>
      </c>
      <c r="F8" s="1">
        <v>6610800</v>
      </c>
      <c r="G8" t="s">
        <v>12</v>
      </c>
      <c r="H8">
        <v>3</v>
      </c>
      <c r="I8">
        <v>24</v>
      </c>
    </row>
    <row r="9" spans="1:9" x14ac:dyDescent="0.2">
      <c r="A9" t="s">
        <v>9</v>
      </c>
      <c r="B9" t="s">
        <v>19</v>
      </c>
      <c r="C9" t="s">
        <v>11</v>
      </c>
      <c r="D9">
        <v>40.1</v>
      </c>
      <c r="E9">
        <v>1000</v>
      </c>
      <c r="F9" s="1">
        <v>40100</v>
      </c>
      <c r="G9" t="s">
        <v>12</v>
      </c>
      <c r="H9">
        <v>3</v>
      </c>
      <c r="I9">
        <v>24</v>
      </c>
    </row>
    <row r="10" spans="1:9" x14ac:dyDescent="0.2">
      <c r="A10" t="s">
        <v>9</v>
      </c>
      <c r="B10" t="s">
        <v>20</v>
      </c>
      <c r="C10" t="s">
        <v>11</v>
      </c>
      <c r="D10">
        <v>75.3</v>
      </c>
      <c r="E10">
        <v>1000</v>
      </c>
      <c r="F10" s="1">
        <v>75300</v>
      </c>
      <c r="G10" t="s">
        <v>12</v>
      </c>
      <c r="H10">
        <v>3</v>
      </c>
      <c r="I10">
        <v>24</v>
      </c>
    </row>
    <row r="11" spans="1:9" x14ac:dyDescent="0.2">
      <c r="A11" t="s">
        <v>9</v>
      </c>
      <c r="B11" t="s">
        <v>21</v>
      </c>
      <c r="C11" t="s">
        <v>11</v>
      </c>
      <c r="D11">
        <v>149.80000000000001</v>
      </c>
      <c r="E11">
        <v>1000</v>
      </c>
      <c r="F11" s="1">
        <v>149800</v>
      </c>
      <c r="G11" t="s">
        <v>12</v>
      </c>
      <c r="H11">
        <v>3</v>
      </c>
      <c r="I11">
        <v>24</v>
      </c>
    </row>
    <row r="12" spans="1:9" x14ac:dyDescent="0.2">
      <c r="A12" t="s">
        <v>22</v>
      </c>
      <c r="B12" t="s">
        <v>10</v>
      </c>
      <c r="C12" t="s">
        <v>11</v>
      </c>
      <c r="D12">
        <v>97189.6</v>
      </c>
      <c r="E12">
        <v>1</v>
      </c>
      <c r="F12" s="1">
        <v>97189.6</v>
      </c>
      <c r="G12" t="s">
        <v>23</v>
      </c>
      <c r="H12">
        <v>5</v>
      </c>
      <c r="I12">
        <v>30</v>
      </c>
    </row>
    <row r="13" spans="1:9" x14ac:dyDescent="0.2">
      <c r="A13" t="s">
        <v>22</v>
      </c>
      <c r="B13" t="s">
        <v>13</v>
      </c>
      <c r="C13" t="s">
        <v>11</v>
      </c>
      <c r="D13">
        <v>4380</v>
      </c>
      <c r="E13">
        <v>1</v>
      </c>
      <c r="F13" s="1">
        <v>4380</v>
      </c>
      <c r="G13" t="s">
        <v>23</v>
      </c>
      <c r="H13">
        <v>5</v>
      </c>
      <c r="I13">
        <v>30</v>
      </c>
    </row>
    <row r="14" spans="1:9" x14ac:dyDescent="0.2">
      <c r="A14" t="s">
        <v>22</v>
      </c>
      <c r="B14" t="s">
        <v>14</v>
      </c>
      <c r="C14" t="s">
        <v>11</v>
      </c>
      <c r="D14">
        <v>82753</v>
      </c>
      <c r="E14">
        <v>1</v>
      </c>
      <c r="F14" s="1">
        <v>82753</v>
      </c>
      <c r="G14" t="s">
        <v>23</v>
      </c>
      <c r="H14">
        <v>5</v>
      </c>
      <c r="I14">
        <v>30</v>
      </c>
    </row>
    <row r="15" spans="1:9" x14ac:dyDescent="0.2">
      <c r="A15" t="s">
        <v>22</v>
      </c>
      <c r="B15" t="s">
        <v>15</v>
      </c>
      <c r="C15" t="s">
        <v>11</v>
      </c>
      <c r="D15">
        <v>2200.6</v>
      </c>
      <c r="E15">
        <v>1</v>
      </c>
      <c r="F15" s="1">
        <v>2200.6</v>
      </c>
      <c r="G15" t="s">
        <v>23</v>
      </c>
      <c r="H15">
        <v>5</v>
      </c>
      <c r="I15">
        <v>30</v>
      </c>
    </row>
    <row r="16" spans="1:9" x14ac:dyDescent="0.2">
      <c r="A16" t="s">
        <v>22</v>
      </c>
      <c r="B16" t="s">
        <v>16</v>
      </c>
      <c r="C16" t="s">
        <v>11</v>
      </c>
      <c r="D16">
        <v>977963.6</v>
      </c>
      <c r="E16">
        <v>1</v>
      </c>
      <c r="F16" s="1">
        <v>977963.6</v>
      </c>
      <c r="G16" t="s">
        <v>23</v>
      </c>
      <c r="H16">
        <v>5</v>
      </c>
      <c r="I16">
        <v>32</v>
      </c>
    </row>
    <row r="17" spans="1:9" x14ac:dyDescent="0.2">
      <c r="A17" t="s">
        <v>22</v>
      </c>
      <c r="B17" t="s">
        <v>17</v>
      </c>
      <c r="C17" t="s">
        <v>11</v>
      </c>
      <c r="D17">
        <v>27042.799999999999</v>
      </c>
      <c r="E17">
        <v>1</v>
      </c>
      <c r="F17" s="1">
        <v>27042.799999999999</v>
      </c>
      <c r="G17" t="s">
        <v>23</v>
      </c>
      <c r="H17">
        <v>5</v>
      </c>
      <c r="I17">
        <v>32</v>
      </c>
    </row>
    <row r="18" spans="1:9" x14ac:dyDescent="0.2">
      <c r="A18" t="s">
        <v>22</v>
      </c>
      <c r="B18" t="s">
        <v>18</v>
      </c>
      <c r="C18" t="s">
        <v>11</v>
      </c>
      <c r="D18">
        <v>100100.5</v>
      </c>
      <c r="E18">
        <v>1</v>
      </c>
      <c r="F18" s="1">
        <v>100100.5</v>
      </c>
      <c r="G18" t="s">
        <v>23</v>
      </c>
      <c r="H18">
        <v>5</v>
      </c>
      <c r="I18">
        <v>32</v>
      </c>
    </row>
    <row r="19" spans="1:9" x14ac:dyDescent="0.2">
      <c r="A19" t="s">
        <v>22</v>
      </c>
      <c r="B19" t="s">
        <v>19</v>
      </c>
      <c r="C19" t="s">
        <v>11</v>
      </c>
      <c r="D19">
        <v>565</v>
      </c>
      <c r="E19">
        <v>1</v>
      </c>
      <c r="F19" s="1">
        <v>565</v>
      </c>
      <c r="G19" t="s">
        <v>23</v>
      </c>
      <c r="H19">
        <v>5</v>
      </c>
      <c r="I19">
        <v>32</v>
      </c>
    </row>
    <row r="20" spans="1:9" x14ac:dyDescent="0.2">
      <c r="A20" t="s">
        <v>22</v>
      </c>
      <c r="B20" t="s">
        <v>20</v>
      </c>
      <c r="C20" t="s">
        <v>11</v>
      </c>
      <c r="D20">
        <v>259.5</v>
      </c>
      <c r="E20">
        <v>1</v>
      </c>
      <c r="F20" s="1">
        <v>259.5</v>
      </c>
      <c r="G20" t="s">
        <v>23</v>
      </c>
      <c r="H20">
        <v>5</v>
      </c>
      <c r="I20">
        <v>32</v>
      </c>
    </row>
    <row r="21" spans="1:9" x14ac:dyDescent="0.2">
      <c r="A21" t="s">
        <v>22</v>
      </c>
      <c r="B21" t="s">
        <v>21</v>
      </c>
      <c r="C21" t="s">
        <v>11</v>
      </c>
      <c r="D21">
        <v>478.7</v>
      </c>
      <c r="E21">
        <v>1</v>
      </c>
      <c r="F21" s="1">
        <v>478.7</v>
      </c>
      <c r="G21" t="s">
        <v>23</v>
      </c>
      <c r="H21">
        <v>5</v>
      </c>
      <c r="I21">
        <v>32</v>
      </c>
    </row>
    <row r="22" spans="1:9" x14ac:dyDescent="0.2">
      <c r="A22" t="s">
        <v>24</v>
      </c>
      <c r="B22" t="s">
        <v>10</v>
      </c>
      <c r="C22" t="s">
        <v>11</v>
      </c>
      <c r="D22">
        <v>392420.6</v>
      </c>
      <c r="E22">
        <v>1</v>
      </c>
      <c r="F22" s="1">
        <v>392420.6</v>
      </c>
      <c r="G22" t="s">
        <v>23</v>
      </c>
      <c r="H22">
        <v>8</v>
      </c>
      <c r="I22">
        <v>42</v>
      </c>
    </row>
    <row r="23" spans="1:9" x14ac:dyDescent="0.2">
      <c r="A23" t="s">
        <v>24</v>
      </c>
      <c r="B23" t="s">
        <v>13</v>
      </c>
      <c r="C23" t="s">
        <v>11</v>
      </c>
      <c r="D23">
        <v>52620.6</v>
      </c>
      <c r="E23">
        <v>1</v>
      </c>
      <c r="F23" s="1">
        <v>52620.6</v>
      </c>
      <c r="G23" t="s">
        <v>23</v>
      </c>
      <c r="H23">
        <v>8</v>
      </c>
      <c r="I23">
        <v>42</v>
      </c>
    </row>
    <row r="24" spans="1:9" x14ac:dyDescent="0.2">
      <c r="A24" t="s">
        <v>24</v>
      </c>
      <c r="B24" t="s">
        <v>14</v>
      </c>
      <c r="C24" t="s">
        <v>11</v>
      </c>
      <c r="D24">
        <v>51142.2</v>
      </c>
      <c r="E24">
        <v>1</v>
      </c>
      <c r="F24" s="1">
        <v>51142.2</v>
      </c>
      <c r="G24" t="s">
        <v>23</v>
      </c>
      <c r="H24">
        <v>8</v>
      </c>
      <c r="I24">
        <v>42</v>
      </c>
    </row>
    <row r="25" spans="1:9" x14ac:dyDescent="0.2">
      <c r="A25" t="s">
        <v>24</v>
      </c>
      <c r="B25" t="s">
        <v>15</v>
      </c>
      <c r="C25" t="s">
        <v>11</v>
      </c>
      <c r="D25">
        <v>54760</v>
      </c>
      <c r="E25">
        <v>1</v>
      </c>
      <c r="F25" s="1">
        <v>54760</v>
      </c>
      <c r="G25" t="s">
        <v>23</v>
      </c>
      <c r="H25">
        <v>8</v>
      </c>
      <c r="I25">
        <v>42</v>
      </c>
    </row>
    <row r="26" spans="1:9" x14ac:dyDescent="0.2">
      <c r="A26" t="s">
        <v>24</v>
      </c>
      <c r="B26" t="s">
        <v>16</v>
      </c>
      <c r="C26" t="s">
        <v>11</v>
      </c>
      <c r="D26">
        <v>884741.8</v>
      </c>
      <c r="E26">
        <v>1</v>
      </c>
      <c r="F26" s="1">
        <v>884741.8</v>
      </c>
      <c r="G26" t="s">
        <v>23</v>
      </c>
      <c r="H26">
        <v>8</v>
      </c>
      <c r="I26">
        <v>44</v>
      </c>
    </row>
    <row r="27" spans="1:9" x14ac:dyDescent="0.2">
      <c r="A27" t="s">
        <v>24</v>
      </c>
      <c r="B27" t="s">
        <v>17</v>
      </c>
      <c r="C27" t="s">
        <v>11</v>
      </c>
      <c r="D27">
        <v>265527.40000000002</v>
      </c>
      <c r="E27">
        <v>1</v>
      </c>
      <c r="F27" s="1">
        <v>265527.40000000002</v>
      </c>
      <c r="G27" t="s">
        <v>23</v>
      </c>
      <c r="H27">
        <v>8</v>
      </c>
      <c r="I27">
        <v>44</v>
      </c>
    </row>
    <row r="28" spans="1:9" x14ac:dyDescent="0.2">
      <c r="A28" t="s">
        <v>24</v>
      </c>
      <c r="B28" t="s">
        <v>18</v>
      </c>
      <c r="C28" t="s">
        <v>11</v>
      </c>
      <c r="D28">
        <v>1193174.8999999999</v>
      </c>
      <c r="E28">
        <v>1</v>
      </c>
      <c r="F28" s="1">
        <v>1193174.8999999999</v>
      </c>
      <c r="G28" t="s">
        <v>23</v>
      </c>
      <c r="H28">
        <v>8</v>
      </c>
      <c r="I28">
        <v>44</v>
      </c>
    </row>
    <row r="29" spans="1:9" x14ac:dyDescent="0.2">
      <c r="A29" t="s">
        <v>24</v>
      </c>
      <c r="B29" t="s">
        <v>19</v>
      </c>
      <c r="C29" t="s">
        <v>11</v>
      </c>
      <c r="D29">
        <v>27815.4</v>
      </c>
      <c r="E29">
        <v>1</v>
      </c>
      <c r="F29" s="1">
        <v>27815.4</v>
      </c>
      <c r="G29" t="s">
        <v>23</v>
      </c>
      <c r="H29">
        <v>8</v>
      </c>
      <c r="I29">
        <v>44</v>
      </c>
    </row>
    <row r="30" spans="1:9" x14ac:dyDescent="0.2">
      <c r="A30" t="s">
        <v>24</v>
      </c>
      <c r="B30" t="s">
        <v>20</v>
      </c>
      <c r="C30" t="s">
        <v>11</v>
      </c>
      <c r="D30">
        <v>53251.8</v>
      </c>
      <c r="E30">
        <v>1</v>
      </c>
      <c r="F30" s="1">
        <v>53251.8</v>
      </c>
      <c r="G30" t="s">
        <v>23</v>
      </c>
      <c r="H30">
        <v>8</v>
      </c>
      <c r="I30">
        <v>44</v>
      </c>
    </row>
    <row r="31" spans="1:9" x14ac:dyDescent="0.2">
      <c r="A31" t="s">
        <v>24</v>
      </c>
      <c r="B31" t="s">
        <v>21</v>
      </c>
      <c r="C31" t="s">
        <v>11</v>
      </c>
      <c r="D31">
        <v>63510.7</v>
      </c>
      <c r="E31">
        <v>1</v>
      </c>
      <c r="F31" s="1">
        <v>63510.7</v>
      </c>
      <c r="G31" t="s">
        <v>23</v>
      </c>
      <c r="H31">
        <v>8</v>
      </c>
      <c r="I31">
        <v>44</v>
      </c>
    </row>
    <row r="32" spans="1:9" x14ac:dyDescent="0.2">
      <c r="A32" t="s">
        <v>25</v>
      </c>
      <c r="B32" t="s">
        <v>14</v>
      </c>
      <c r="C32" t="s">
        <v>11</v>
      </c>
      <c r="D32">
        <v>163823.9</v>
      </c>
      <c r="E32">
        <v>1</v>
      </c>
      <c r="F32" s="1">
        <v>163823.9</v>
      </c>
      <c r="G32" t="s">
        <v>23</v>
      </c>
      <c r="H32">
        <v>12</v>
      </c>
      <c r="I32">
        <v>58</v>
      </c>
    </row>
    <row r="33" spans="1:9" x14ac:dyDescent="0.2">
      <c r="A33" t="s">
        <v>25</v>
      </c>
      <c r="B33" t="s">
        <v>15</v>
      </c>
      <c r="C33" t="s">
        <v>11</v>
      </c>
      <c r="D33">
        <v>22129.3</v>
      </c>
      <c r="E33">
        <v>1</v>
      </c>
      <c r="F33" s="1">
        <v>22129.3</v>
      </c>
      <c r="G33" t="s">
        <v>23</v>
      </c>
      <c r="H33">
        <v>12</v>
      </c>
      <c r="I33">
        <v>58</v>
      </c>
    </row>
    <row r="34" spans="1:9" x14ac:dyDescent="0.2">
      <c r="A34" t="s">
        <v>25</v>
      </c>
      <c r="B34" t="s">
        <v>21</v>
      </c>
      <c r="C34" t="s">
        <v>11</v>
      </c>
      <c r="D34">
        <v>21434.400000000001</v>
      </c>
      <c r="E34">
        <v>1</v>
      </c>
      <c r="F34" s="1">
        <v>21434.400000000001</v>
      </c>
      <c r="G34" t="s">
        <v>23</v>
      </c>
      <c r="H34">
        <v>12</v>
      </c>
      <c r="I34">
        <v>58</v>
      </c>
    </row>
    <row r="35" spans="1:9" x14ac:dyDescent="0.2">
      <c r="A35" t="s">
        <v>26</v>
      </c>
      <c r="B35" t="s">
        <v>10</v>
      </c>
      <c r="C35" t="s">
        <v>11</v>
      </c>
      <c r="D35">
        <v>2013.3</v>
      </c>
      <c r="E35">
        <v>1000</v>
      </c>
      <c r="F35" s="1">
        <v>2013300</v>
      </c>
      <c r="G35" t="s">
        <v>12</v>
      </c>
      <c r="H35">
        <v>6</v>
      </c>
      <c r="I35">
        <v>34</v>
      </c>
    </row>
    <row r="36" spans="1:9" x14ac:dyDescent="0.2">
      <c r="A36" t="s">
        <v>26</v>
      </c>
      <c r="B36" t="s">
        <v>13</v>
      </c>
      <c r="C36" t="s">
        <v>11</v>
      </c>
      <c r="D36">
        <v>136.6</v>
      </c>
      <c r="E36">
        <v>1000</v>
      </c>
      <c r="F36" s="1">
        <v>136600</v>
      </c>
      <c r="G36" t="s">
        <v>12</v>
      </c>
      <c r="H36">
        <v>6</v>
      </c>
      <c r="I36">
        <v>34</v>
      </c>
    </row>
    <row r="37" spans="1:9" x14ac:dyDescent="0.2">
      <c r="A37" t="s">
        <v>26</v>
      </c>
      <c r="B37" t="s">
        <v>14</v>
      </c>
      <c r="C37" t="s">
        <v>11</v>
      </c>
      <c r="D37">
        <v>1202.3</v>
      </c>
      <c r="E37">
        <v>1000</v>
      </c>
      <c r="F37" s="1">
        <v>1202300</v>
      </c>
      <c r="G37" t="s">
        <v>12</v>
      </c>
      <c r="H37">
        <v>6</v>
      </c>
      <c r="I37">
        <v>34</v>
      </c>
    </row>
    <row r="38" spans="1:9" x14ac:dyDescent="0.2">
      <c r="A38" t="s">
        <v>26</v>
      </c>
      <c r="B38" t="s">
        <v>15</v>
      </c>
      <c r="C38" t="s">
        <v>11</v>
      </c>
      <c r="D38">
        <v>315.60000000000002</v>
      </c>
      <c r="E38">
        <v>1000</v>
      </c>
      <c r="F38" s="1">
        <v>315600</v>
      </c>
      <c r="G38" t="s">
        <v>12</v>
      </c>
      <c r="H38">
        <v>6</v>
      </c>
      <c r="I38">
        <v>34</v>
      </c>
    </row>
    <row r="39" spans="1:9" x14ac:dyDescent="0.2">
      <c r="A39" t="s">
        <v>26</v>
      </c>
      <c r="B39" t="s">
        <v>16</v>
      </c>
      <c r="C39" t="s">
        <v>11</v>
      </c>
      <c r="D39">
        <v>2840.1</v>
      </c>
      <c r="E39">
        <v>1000</v>
      </c>
      <c r="F39" s="1">
        <v>2840100</v>
      </c>
      <c r="G39" t="s">
        <v>12</v>
      </c>
      <c r="H39">
        <v>6</v>
      </c>
      <c r="I39">
        <v>36</v>
      </c>
    </row>
    <row r="40" spans="1:9" x14ac:dyDescent="0.2">
      <c r="A40" t="s">
        <v>26</v>
      </c>
      <c r="B40" t="s">
        <v>17</v>
      </c>
      <c r="C40" t="s">
        <v>11</v>
      </c>
      <c r="D40">
        <v>706.6</v>
      </c>
      <c r="E40">
        <v>1000</v>
      </c>
      <c r="F40" s="1">
        <v>706600</v>
      </c>
      <c r="G40" t="s">
        <v>12</v>
      </c>
      <c r="H40">
        <v>6</v>
      </c>
      <c r="I40">
        <v>36</v>
      </c>
    </row>
    <row r="41" spans="1:9" x14ac:dyDescent="0.2">
      <c r="A41" t="s">
        <v>26</v>
      </c>
      <c r="B41" t="s">
        <v>18</v>
      </c>
      <c r="C41" t="s">
        <v>11</v>
      </c>
      <c r="D41">
        <v>1125.8</v>
      </c>
      <c r="E41">
        <v>1000</v>
      </c>
      <c r="F41" s="1">
        <v>1125800</v>
      </c>
      <c r="G41" t="s">
        <v>12</v>
      </c>
      <c r="H41">
        <v>6</v>
      </c>
      <c r="I41">
        <v>36</v>
      </c>
    </row>
    <row r="42" spans="1:9" x14ac:dyDescent="0.2">
      <c r="A42" t="s">
        <v>26</v>
      </c>
      <c r="B42" t="s">
        <v>19</v>
      </c>
      <c r="C42" t="s">
        <v>11</v>
      </c>
      <c r="D42">
        <v>5.8</v>
      </c>
      <c r="E42">
        <v>1000</v>
      </c>
      <c r="F42" s="1">
        <v>5800</v>
      </c>
      <c r="G42" t="s">
        <v>12</v>
      </c>
      <c r="H42">
        <v>6</v>
      </c>
      <c r="I42">
        <v>36</v>
      </c>
    </row>
    <row r="43" spans="1:9" x14ac:dyDescent="0.2">
      <c r="A43" t="s">
        <v>26</v>
      </c>
      <c r="B43" t="s">
        <v>20</v>
      </c>
      <c r="C43" t="s">
        <v>11</v>
      </c>
      <c r="D43">
        <v>4.8</v>
      </c>
      <c r="E43">
        <v>1000</v>
      </c>
      <c r="F43" s="1">
        <v>4800</v>
      </c>
      <c r="G43" t="s">
        <v>12</v>
      </c>
      <c r="H43">
        <v>6</v>
      </c>
      <c r="I43">
        <v>36</v>
      </c>
    </row>
    <row r="44" spans="1:9" x14ac:dyDescent="0.2">
      <c r="A44" t="s">
        <v>26</v>
      </c>
      <c r="B44" t="s">
        <v>21</v>
      </c>
      <c r="C44" t="s">
        <v>11</v>
      </c>
      <c r="D44">
        <v>40.299999999999997</v>
      </c>
      <c r="E44">
        <v>1000</v>
      </c>
      <c r="F44" s="1">
        <v>40300</v>
      </c>
      <c r="G44" t="s">
        <v>12</v>
      </c>
      <c r="H44">
        <v>6</v>
      </c>
      <c r="I44">
        <v>36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5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.6640625" customWidth="1"/>
    <col min="2" max="2" width="112.6640625" customWidth="1"/>
  </cols>
  <sheetData>
    <row r="1" spans="1:2" ht="30" customHeight="1" x14ac:dyDescent="0.2">
      <c r="A1" s="2" t="s">
        <v>28</v>
      </c>
      <c r="B1" s="2" t="s">
        <v>29</v>
      </c>
    </row>
    <row r="2" spans="1:2" ht="45" customHeight="1" x14ac:dyDescent="0.2">
      <c r="A2" s="3" t="s">
        <v>30</v>
      </c>
      <c r="B2" s="4" t="s">
        <v>31</v>
      </c>
    </row>
    <row r="3" spans="1:2" ht="45" customHeight="1" x14ac:dyDescent="0.2">
      <c r="A3" s="3" t="s">
        <v>32</v>
      </c>
      <c r="B3" s="4" t="s">
        <v>33</v>
      </c>
    </row>
    <row r="4" spans="1:2" ht="45" customHeight="1" x14ac:dyDescent="0.2">
      <c r="A4" s="3" t="s">
        <v>34</v>
      </c>
      <c r="B4" s="4" t="s">
        <v>35</v>
      </c>
    </row>
    <row r="5" spans="1:2" ht="45" customHeight="1" x14ac:dyDescent="0.2">
      <c r="A5" s="3" t="s">
        <v>36</v>
      </c>
      <c r="B5" s="4" t="s">
        <v>37</v>
      </c>
    </row>
    <row r="6" spans="1:2" ht="45" customHeight="1" x14ac:dyDescent="0.2">
      <c r="A6" s="3" t="s">
        <v>38</v>
      </c>
      <c r="B6" s="4" t="s">
        <v>39</v>
      </c>
    </row>
    <row r="7" spans="1:2" ht="45" customHeight="1" x14ac:dyDescent="0.2">
      <c r="A7" s="3" t="s">
        <v>40</v>
      </c>
      <c r="B7" s="4" t="s">
        <v>41</v>
      </c>
    </row>
    <row r="8" spans="1:2" ht="45" customHeight="1" x14ac:dyDescent="0.2">
      <c r="A8" s="3" t="s">
        <v>9</v>
      </c>
      <c r="B8" s="4" t="s">
        <v>42</v>
      </c>
    </row>
    <row r="9" spans="1:2" ht="45" customHeight="1" x14ac:dyDescent="0.2">
      <c r="A9" s="3" t="s">
        <v>22</v>
      </c>
      <c r="B9" s="4" t="s">
        <v>43</v>
      </c>
    </row>
    <row r="10" spans="1:2" ht="45" customHeight="1" x14ac:dyDescent="0.2">
      <c r="A10" s="3" t="s">
        <v>24</v>
      </c>
      <c r="B10" s="4" t="s">
        <v>44</v>
      </c>
    </row>
    <row r="11" spans="1:2" ht="45" customHeight="1" x14ac:dyDescent="0.2">
      <c r="A11" s="3" t="s">
        <v>25</v>
      </c>
      <c r="B11" s="4" t="s">
        <v>45</v>
      </c>
    </row>
    <row r="12" spans="1:2" ht="45" customHeight="1" x14ac:dyDescent="0.2">
      <c r="A12" s="3" t="s">
        <v>26</v>
      </c>
      <c r="B12" s="4" t="s">
        <v>46</v>
      </c>
    </row>
    <row r="13" spans="1:2" ht="45" customHeight="1" x14ac:dyDescent="0.2">
      <c r="A13" s="3" t="s">
        <v>47</v>
      </c>
      <c r="B13" s="4" t="s">
        <v>48</v>
      </c>
    </row>
    <row r="14" spans="1:2" ht="45" customHeight="1" x14ac:dyDescent="0.2">
      <c r="A14" s="3" t="s">
        <v>49</v>
      </c>
      <c r="B14" s="4" t="s">
        <v>50</v>
      </c>
    </row>
    <row r="15" spans="1:2" ht="45" customHeight="1" x14ac:dyDescent="0.2">
      <c r="A15" s="3" t="s">
        <v>51</v>
      </c>
      <c r="B15" s="4" t="s">
        <v>52</v>
      </c>
    </row>
    <row r="16" spans="1:2" ht="45" customHeight="1" x14ac:dyDescent="0.2">
      <c r="A16" s="3" t="s">
        <v>53</v>
      </c>
      <c r="B16" s="4" t="s">
        <v>54</v>
      </c>
    </row>
    <row r="17" spans="1:2" ht="45" customHeight="1" x14ac:dyDescent="0.2">
      <c r="A17" s="3" t="s">
        <v>55</v>
      </c>
      <c r="B17" s="4" t="s">
        <v>56</v>
      </c>
    </row>
    <row r="18" spans="1:2" ht="45" customHeight="1" x14ac:dyDescent="0.2">
      <c r="A18" s="3" t="s">
        <v>57</v>
      </c>
      <c r="B18" s="4" t="s">
        <v>58</v>
      </c>
    </row>
    <row r="19" spans="1:2" ht="60" customHeight="1" x14ac:dyDescent="0.2">
      <c r="A19" s="3" t="s">
        <v>59</v>
      </c>
      <c r="B19" s="4" t="s">
        <v>60</v>
      </c>
    </row>
    <row r="20" spans="1:2" ht="45" customHeight="1" x14ac:dyDescent="0.2">
      <c r="A20" s="3" t="s">
        <v>61</v>
      </c>
      <c r="B20" s="4" t="s">
        <v>62</v>
      </c>
    </row>
    <row r="21" spans="1:2" ht="45" customHeight="1" x14ac:dyDescent="0.2">
      <c r="A21" s="3" t="s">
        <v>63</v>
      </c>
      <c r="B21" s="4" t="s">
        <v>64</v>
      </c>
    </row>
    <row r="23" spans="1:2" x14ac:dyDescent="0.2">
      <c r="B23" s="5" t="s">
        <v>65</v>
      </c>
    </row>
    <row r="24" spans="1:2" x14ac:dyDescent="0.2">
      <c r="B24" s="5" t="s">
        <v>66</v>
      </c>
    </row>
    <row r="25" spans="1:2" x14ac:dyDescent="0.2">
      <c r="B25" s="5" t="s">
        <v>67</v>
      </c>
    </row>
  </sheetData>
  <hyperlinks>
    <hyperlink ref="B23" location="'Площади 2016, га'!A1" display="Основная таблица для Python" xr:uid="{00000000-0004-0000-0300-000000000000}"/>
    <hyperlink ref="B24" location="'Округа как в PDF'!A1" display="Итоги в группировке PDF" xr:uid="{00000000-0004-0000-0300-000001000000}"/>
    <hyperlink ref="B25" location="'Источник PDF'!A1" display="Исходные значения со страницами PDF" xr:uid="{00000000-0004-0000-03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Площади 2016, га</vt:lpstr>
      <vt:lpstr>Округа как в PDF</vt:lpstr>
      <vt:lpstr>Источник PDF</vt:lpstr>
      <vt:lpstr>Методика</vt:lpstr>
      <vt:lpstr>'Округа как в PDF'!Область_печати</vt:lpstr>
      <vt:lpstr>'Площади 2016, га'!Область_печати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Посевные площади пяти культур по федеральным округам, 2016</dc:title>
  <dc:creator/>
  <dc:description>Источник всех числовых значений: DatasetSelkhoz.pdf. Территории согласованы с ранее собранным валовым сбором.</dc:description>
  <cp:lastModifiedBy>Shnol Vasilii</cp:lastModifiedBy>
  <dcterms:created xsi:type="dcterms:W3CDTF">2026-10-19T17:08:22Z</dcterms:created>
  <dcterms:modified xsi:type="dcterms:W3CDTF">2026-10-19T17:20:51Z</dcterms:modified>
</cp:coreProperties>
</file>